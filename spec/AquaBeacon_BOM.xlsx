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<sst xmlns="http://schemas.openxmlformats.org/spreadsheetml/2006/main" count="207" uniqueCount="126">
  <si>
    <r>
      <rPr>
        <b val="true"/>
        <sz val="14"/>
        <rFont val="Arial"/>
        <family val="0"/>
        <charset val="1"/>
      </rPr>
      <t xml:space="preserve">AquaBeacon </t>
    </r>
    <r>
      <rPr>
        <b val="true"/>
        <sz val="14"/>
        <rFont val="Noto Sans CJK SC"/>
        <family val="2"/>
      </rPr>
      <t xml:space="preserve">購入部品表（</t>
    </r>
    <r>
      <rPr>
        <b val="true"/>
        <sz val="14"/>
        <rFont val="Arial"/>
        <family val="0"/>
        <charset val="1"/>
      </rPr>
      <t xml:space="preserve">BOM</t>
    </r>
    <r>
      <rPr>
        <b val="true"/>
        <sz val="14"/>
        <rFont val="Noto Sans CJK SC"/>
        <family val="2"/>
      </rPr>
      <t xml:space="preserve">）　予算 </t>
    </r>
    <r>
      <rPr>
        <b val="true"/>
        <sz val="14"/>
        <rFont val="Arial"/>
        <family val="0"/>
        <charset val="1"/>
      </rPr>
      <t xml:space="preserve">¥500,000</t>
    </r>
  </si>
  <si>
    <t xml:space="preserve">予算（円）</t>
  </si>
  <si>
    <t xml:space="preserve">区分内訳</t>
  </si>
  <si>
    <t xml:space="preserve">見積合計（円）</t>
  </si>
  <si>
    <t xml:space="preserve">親機</t>
  </si>
  <si>
    <t xml:space="preserve">残り（円）</t>
  </si>
  <si>
    <t xml:space="preserve">子機</t>
  </si>
  <si>
    <r>
      <rPr>
        <i val="true"/>
        <sz val="9"/>
        <color rgb="FF777777"/>
        <rFont val="Noto Sans CJK SC"/>
        <family val="2"/>
      </rPr>
      <t xml:space="preserve">※単価は概算。発注時に要確認。状態＝決定</t>
    </r>
    <r>
      <rPr>
        <i val="true"/>
        <sz val="9"/>
        <color rgb="FF777777"/>
        <rFont val="Arial"/>
        <family val="0"/>
        <charset val="1"/>
      </rPr>
      <t xml:space="preserve">/</t>
    </r>
    <r>
      <rPr>
        <i val="true"/>
        <sz val="9"/>
        <color rgb="FF777777"/>
        <rFont val="Noto Sans CJK SC"/>
        <family val="2"/>
      </rPr>
      <t xml:space="preserve">仮</t>
    </r>
    <r>
      <rPr>
        <i val="true"/>
        <sz val="9"/>
        <color rgb="FF777777"/>
        <rFont val="Arial"/>
        <family val="0"/>
        <charset val="1"/>
      </rPr>
      <t xml:space="preserve">/</t>
    </r>
    <r>
      <rPr>
        <i val="true"/>
        <sz val="9"/>
        <color rgb="FF777777"/>
        <rFont val="Noto Sans CJK SC"/>
        <family val="2"/>
      </rPr>
      <t xml:space="preserve">流用。</t>
    </r>
  </si>
  <si>
    <t xml:space="preserve">テザー</t>
  </si>
  <si>
    <t xml:space="preserve">実験</t>
  </si>
  <si>
    <t xml:space="preserve">予備</t>
  </si>
  <si>
    <t xml:space="preserve">区分</t>
  </si>
  <si>
    <t xml:space="preserve">品目</t>
  </si>
  <si>
    <t xml:space="preserve">型番・仕様</t>
  </si>
  <si>
    <t xml:space="preserve">数量</t>
  </si>
  <si>
    <r>
      <rPr>
        <b val="true"/>
        <sz val="11"/>
        <color rgb="FFFFFFFF"/>
        <rFont val="Noto Sans CJK SC"/>
        <family val="2"/>
      </rPr>
      <t xml:space="preserve">単価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円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</si>
  <si>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小計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円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</si>
  <si>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購入先・備考</t>
  </si>
  <si>
    <t xml:space="preserve">状態</t>
  </si>
  <si>
    <t xml:space="preserve">防水ボックス（浮体）</t>
  </si>
  <si>
    <r>
      <rPr>
        <sz val="10"/>
        <rFont val="Noto Sans CJK SC"/>
        <family val="2"/>
      </rPr>
      <t xml:space="preserve">タカチ 防水</t>
    </r>
    <r>
      <rPr>
        <sz val="10"/>
        <rFont val="Arial"/>
        <family val="0"/>
        <charset val="1"/>
      </rPr>
      <t xml:space="preserve">BOX ※</t>
    </r>
    <r>
      <rPr>
        <sz val="10"/>
        <rFont val="Noto Sans CJK SC"/>
        <family val="2"/>
      </rPr>
      <t xml:space="preserve">初期はタッパー</t>
    </r>
  </si>
  <si>
    <t xml:space="preserve">本番用。初期実験はタッパー流用</t>
  </si>
  <si>
    <t xml:space="preserve">決定</t>
  </si>
  <si>
    <r>
      <rPr>
        <sz val="10"/>
        <rFont val="Arial"/>
        <family val="0"/>
        <charset val="1"/>
      </rPr>
      <t xml:space="preserve">GPS</t>
    </r>
    <r>
      <rPr>
        <sz val="10"/>
        <rFont val="Noto Sans CJK SC"/>
        <family val="2"/>
      </rPr>
      <t xml:space="preserve">アンテナ</t>
    </r>
  </si>
  <si>
    <r>
      <rPr>
        <sz val="10"/>
        <rFont val="Arial"/>
        <family val="0"/>
        <charset val="1"/>
      </rPr>
      <t xml:space="preserve">u-blox ANN-MB1-00</t>
    </r>
    <r>
      <rPr>
        <sz val="10"/>
        <rFont val="Noto Sans CJK SC"/>
        <family val="2"/>
      </rPr>
      <t xml:space="preserve">（マルチバンド</t>
    </r>
    <r>
      <rPr>
        <sz val="10"/>
        <rFont val="Arial"/>
        <family val="0"/>
        <charset val="1"/>
      </rPr>
      <t xml:space="preserve">, IP67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</si>
  <si>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将来</t>
    </r>
    <r>
      <rPr>
        <sz val="10"/>
        <rFont val="Arial"/>
        <family val="0"/>
        <charset val="1"/>
      </rPr>
      <t xml:space="preserve">F9P</t>
    </r>
    <r>
      <rPr>
        <sz val="10"/>
        <rFont val="Noto Sans CJK SC"/>
        <family val="2"/>
      </rPr>
      <t xml:space="preserve">でそのまま活用</t>
    </r>
  </si>
  <si>
    <r>
      <rPr>
        <sz val="10"/>
        <rFont val="Arial"/>
        <family val="0"/>
        <charset val="1"/>
      </rPr>
      <t xml:space="preserve">GPS</t>
    </r>
    <r>
      <rPr>
        <sz val="10"/>
        <rFont val="Noto Sans CJK SC"/>
        <family val="2"/>
      </rPr>
      <t xml:space="preserve">モジュール</t>
    </r>
  </si>
  <si>
    <r>
      <rPr>
        <sz val="10"/>
        <rFont val="Arial"/>
        <family val="0"/>
        <charset val="1"/>
      </rPr>
      <t xml:space="preserve">SparkFun NEO-M9N Qwiic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UART+PPS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</si>
  <si>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低精度で割切り。後日</t>
    </r>
    <r>
      <rPr>
        <sz val="10"/>
        <rFont val="Arial"/>
        <family val="0"/>
        <charset val="1"/>
      </rPr>
      <t xml:space="preserve">F9P</t>
    </r>
    <r>
      <rPr>
        <sz val="10"/>
        <rFont val="Noto Sans CJK SC"/>
        <family val="2"/>
      </rPr>
      <t xml:space="preserve">へ挿替可に配線</t>
    </r>
  </si>
  <si>
    <t xml:space="preserve">マイコン</t>
  </si>
  <si>
    <r>
      <rPr>
        <sz val="10"/>
        <rFont val="Arial"/>
        <family val="0"/>
        <charset val="1"/>
      </rPr>
      <t xml:space="preserve">SONY SPRESENSE </t>
    </r>
    <r>
      <rPr>
        <sz val="10"/>
        <rFont val="Noto Sans CJK SC"/>
        <family val="2"/>
      </rPr>
      <t xml:space="preserve">メインボード</t>
    </r>
  </si>
  <si>
    <r>
      <rPr>
        <sz val="10"/>
        <rFont val="Arial"/>
        <family val="0"/>
        <charset val="1"/>
      </rPr>
      <t xml:space="preserve">TX</t>
    </r>
    <r>
      <rPr>
        <sz val="10"/>
        <rFont val="Noto Sans CJK SC"/>
        <family val="2"/>
      </rPr>
      <t xml:space="preserve">制御・</t>
    </r>
    <r>
      <rPr>
        <sz val="10"/>
        <rFont val="Arial"/>
        <family val="0"/>
        <charset val="1"/>
      </rPr>
      <t xml:space="preserve">GPS</t>
    </r>
    <r>
      <rPr>
        <sz val="10"/>
        <rFont val="Noto Sans CJK SC"/>
        <family val="2"/>
      </rPr>
      <t xml:space="preserve">・ロギング</t>
    </r>
  </si>
  <si>
    <t xml:space="preserve">IMU</t>
  </si>
  <si>
    <r>
      <rPr>
        <sz val="10"/>
        <rFont val="Arial"/>
        <family val="0"/>
        <charset val="1"/>
      </rPr>
      <t xml:space="preserve">SPRESENSE </t>
    </r>
    <r>
      <rPr>
        <sz val="10"/>
        <rFont val="Noto Sans CJK SC"/>
        <family val="2"/>
      </rPr>
      <t xml:space="preserve">マルチ</t>
    </r>
    <r>
      <rPr>
        <sz val="10"/>
        <rFont val="Arial"/>
        <family val="0"/>
        <charset val="1"/>
      </rPr>
      <t xml:space="preserve">IMU Add-on</t>
    </r>
  </si>
  <si>
    <t xml:space="preserve">姿勢補正の要（測角精度に直結）</t>
  </si>
  <si>
    <r>
      <rPr>
        <sz val="10"/>
        <rFont val="Noto Sans CJK SC"/>
        <family val="2"/>
      </rPr>
      <t xml:space="preserve">深度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温度センサ</t>
    </r>
  </si>
  <si>
    <r>
      <rPr>
        <sz val="10"/>
        <rFont val="Noto Sans CJK SC"/>
        <family val="2"/>
      </rPr>
      <t xml:space="preserve">圧力式（例 </t>
    </r>
    <r>
      <rPr>
        <sz val="10"/>
        <rFont val="Arial"/>
        <family val="0"/>
        <charset val="1"/>
      </rPr>
      <t xml:space="preserve">MS5837 / Bar30</t>
    </r>
    <r>
      <rPr>
        <sz val="10"/>
        <rFont val="Noto Sans CJK SC"/>
        <family val="2"/>
      </rPr>
      <t xml:space="preserve">）</t>
    </r>
  </si>
  <si>
    <t xml:space="preserve">深度・温度ログ</t>
  </si>
  <si>
    <t xml:space="preserve">仮</t>
  </si>
  <si>
    <t xml:space="preserve">RTC</t>
  </si>
  <si>
    <r>
      <rPr>
        <sz val="10"/>
        <rFont val="Arial"/>
        <family val="0"/>
        <charset val="1"/>
      </rPr>
      <t xml:space="preserve">DS3231 </t>
    </r>
    <r>
      <rPr>
        <sz val="10"/>
        <rFont val="Noto Sans CJK SC"/>
        <family val="2"/>
      </rPr>
      <t xml:space="preserve">モジュール</t>
    </r>
  </si>
  <si>
    <r>
      <rPr>
        <sz val="10"/>
        <rFont val="Noto Sans CJK SC"/>
        <family val="2"/>
      </rPr>
      <t xml:space="preserve">壁時計・</t>
    </r>
    <r>
      <rPr>
        <sz val="10"/>
        <rFont val="Arial"/>
        <family val="0"/>
        <charset val="1"/>
      </rPr>
      <t xml:space="preserve">TX</t>
    </r>
    <r>
      <rPr>
        <sz val="10"/>
        <rFont val="Noto Sans CJK SC"/>
        <family val="2"/>
      </rPr>
      <t xml:space="preserve">時刻ログ</t>
    </r>
  </si>
  <si>
    <r>
      <rPr>
        <sz val="10"/>
        <rFont val="Noto Sans CJK SC"/>
        <family val="2"/>
      </rPr>
      <t xml:space="preserve">音響振動子</t>
    </r>
    <r>
      <rPr>
        <sz val="10"/>
        <rFont val="Arial"/>
        <family val="0"/>
        <charset val="1"/>
      </rPr>
      <t xml:space="preserve">(TX)</t>
    </r>
  </si>
  <si>
    <t xml:space="preserve">HONDEX TD04A 200kHz</t>
  </si>
  <si>
    <r>
      <rPr>
        <sz val="10"/>
        <rFont val="Noto Sans CJK SC"/>
        <family val="2"/>
      </rPr>
      <t xml:space="preserve">指向角約</t>
    </r>
    <r>
      <rPr>
        <sz val="10"/>
        <rFont val="Arial"/>
        <family val="0"/>
        <charset val="1"/>
      </rPr>
      <t xml:space="preserve">22°</t>
    </r>
    <r>
      <rPr>
        <sz val="10"/>
        <rFont val="Noto Sans CJK SC"/>
        <family val="2"/>
      </rPr>
      <t xml:space="preserve">。コネクタ化し将来</t>
    </r>
    <r>
      <rPr>
        <sz val="10"/>
        <rFont val="Arial"/>
        <family val="0"/>
        <charset val="1"/>
      </rPr>
      <t xml:space="preserve">50kHz</t>
    </r>
    <r>
      <rPr>
        <sz val="10"/>
        <rFont val="Noto Sans CJK SC"/>
        <family val="2"/>
      </rPr>
      <t xml:space="preserve">素子へ差替可</t>
    </r>
  </si>
  <si>
    <r>
      <rPr>
        <sz val="10"/>
        <rFont val="Arial"/>
        <family val="0"/>
        <charset val="1"/>
      </rPr>
      <t xml:space="preserve">TX</t>
    </r>
    <r>
      <rPr>
        <sz val="10"/>
        <rFont val="Noto Sans CJK SC"/>
        <family val="2"/>
      </rPr>
      <t xml:space="preserve">駆動基板</t>
    </r>
  </si>
  <si>
    <r>
      <rPr>
        <sz val="10"/>
        <rFont val="Noto Sans CJK SC"/>
        <family val="2"/>
      </rPr>
      <t xml:space="preserve">自作</t>
    </r>
    <r>
      <rPr>
        <sz val="10"/>
        <rFont val="Arial"/>
        <family val="0"/>
        <charset val="1"/>
      </rPr>
      <t xml:space="preserve">PCB</t>
    </r>
    <r>
      <rPr>
        <sz val="10"/>
        <rFont val="Noto Sans CJK SC"/>
        <family val="2"/>
      </rPr>
      <t xml:space="preserve">＋部品</t>
    </r>
  </si>
  <si>
    <t xml:space="preserve">周波数依存部は差替可能に</t>
  </si>
  <si>
    <t xml:space="preserve">測角カメラ</t>
  </si>
  <si>
    <r>
      <rPr>
        <sz val="10"/>
        <rFont val="Arial"/>
        <family val="0"/>
        <charset val="1"/>
      </rPr>
      <t xml:space="preserve">RasPi Global Shutter Camera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IMX296</t>
    </r>
    <r>
      <rPr>
        <sz val="10"/>
        <rFont val="Noto Sans CJK SC"/>
        <family val="2"/>
      </rPr>
      <t xml:space="preserve">）</t>
    </r>
  </si>
  <si>
    <t xml:space="preserve">グローバルシャッター</t>
  </si>
  <si>
    <t xml:space="preserve">レンズ</t>
  </si>
  <si>
    <r>
      <rPr>
        <sz val="10"/>
        <rFont val="Arial"/>
        <family val="0"/>
        <charset val="1"/>
      </rPr>
      <t xml:space="preserve">C</t>
    </r>
    <r>
      <rPr>
        <sz val="10"/>
        <rFont val="Noto Sans CJK SC"/>
        <family val="2"/>
      </rPr>
      <t xml:space="preserve">マウント </t>
    </r>
    <r>
      <rPr>
        <sz val="10"/>
        <rFont val="Arial"/>
        <family val="0"/>
        <charset val="1"/>
      </rPr>
      <t xml:space="preserve">4mm </t>
    </r>
    <r>
      <rPr>
        <sz val="10"/>
        <rFont val="Noto Sans CJK SC"/>
        <family val="2"/>
      </rPr>
      <t xml:space="preserve">広角（</t>
    </r>
    <r>
      <rPr>
        <sz val="10"/>
        <rFont val="Arial"/>
        <family val="0"/>
        <charset val="1"/>
      </rPr>
      <t xml:space="preserve">1/2.9"</t>
    </r>
    <r>
      <rPr>
        <sz val="10"/>
        <rFont val="Noto Sans CJK SC"/>
        <family val="2"/>
      </rPr>
      <t xml:space="preserve">対応）</t>
    </r>
  </si>
  <si>
    <r>
      <rPr>
        <sz val="10"/>
        <rFont val="Noto Sans CJK SC"/>
        <family val="2"/>
      </rPr>
      <t xml:space="preserve">水中約</t>
    </r>
    <r>
      <rPr>
        <sz val="10"/>
        <rFont val="Arial"/>
        <family val="0"/>
        <charset val="1"/>
      </rPr>
      <t xml:space="preserve">48°FOV</t>
    </r>
    <r>
      <rPr>
        <sz val="10"/>
        <rFont val="Noto Sans CJK SC"/>
        <family val="2"/>
      </rPr>
      <t xml:space="preserve">。将来</t>
    </r>
    <r>
      <rPr>
        <sz val="10"/>
        <rFont val="Arial"/>
        <family val="0"/>
        <charset val="1"/>
      </rPr>
      <t xml:space="preserve">50kHz</t>
    </r>
    <r>
      <rPr>
        <sz val="10"/>
        <rFont val="Noto Sans CJK SC"/>
        <family val="2"/>
      </rPr>
      <t xml:space="preserve">広ビームも見据え</t>
    </r>
  </si>
  <si>
    <t xml:space="preserve">バンドパスフィルタ</t>
  </si>
  <si>
    <r>
      <rPr>
        <sz val="10"/>
        <rFont val="Arial"/>
        <family val="0"/>
        <charset val="1"/>
      </rPr>
      <t xml:space="preserve">520nm</t>
    </r>
    <r>
      <rPr>
        <sz val="10"/>
        <rFont val="Noto Sans CJK SC"/>
        <family val="2"/>
      </rPr>
      <t xml:space="preserve">付近 </t>
    </r>
    <r>
      <rPr>
        <sz val="10"/>
        <rFont val="Arial"/>
        <family val="0"/>
        <charset val="1"/>
      </rPr>
      <t xml:space="preserve">BPF</t>
    </r>
  </si>
  <si>
    <r>
      <rPr>
        <sz val="10"/>
        <rFont val="Noto Sans CJK SC"/>
        <family val="2"/>
      </rPr>
      <t xml:space="preserve">緑ライトの</t>
    </r>
    <r>
      <rPr>
        <sz val="10"/>
        <rFont val="Arial"/>
        <family val="0"/>
        <charset val="1"/>
      </rPr>
      <t xml:space="preserve">SNR</t>
    </r>
    <r>
      <rPr>
        <sz val="10"/>
        <rFont val="Noto Sans CJK SC"/>
        <family val="2"/>
      </rPr>
      <t xml:space="preserve">確保</t>
    </r>
  </si>
  <si>
    <t xml:space="preserve">カメラ用マイコン</t>
  </si>
  <si>
    <t xml:space="preserve">Raspberry Pi Zero 2 W</t>
  </si>
  <si>
    <r>
      <rPr>
        <sz val="10"/>
        <rFont val="Arial"/>
        <family val="0"/>
        <charset val="1"/>
      </rPr>
      <t xml:space="preserve">GS</t>
    </r>
    <r>
      <rPr>
        <sz val="10"/>
        <rFont val="Noto Sans CJK SC"/>
        <family val="2"/>
      </rPr>
      <t xml:space="preserve">カメラ撮影・</t>
    </r>
    <r>
      <rPr>
        <sz val="10"/>
        <rFont val="Arial"/>
        <family val="0"/>
        <charset val="1"/>
      </rPr>
      <t xml:space="preserve">SD</t>
    </r>
    <r>
      <rPr>
        <sz val="10"/>
        <rFont val="Noto Sans CJK SC"/>
        <family val="2"/>
      </rPr>
      <t xml:space="preserve">保存</t>
    </r>
  </si>
  <si>
    <t xml:space="preserve">ケーブルグランド</t>
  </si>
  <si>
    <r>
      <rPr>
        <sz val="10"/>
        <rFont val="Noto Sans CJK SC"/>
        <family val="2"/>
      </rPr>
      <t xml:space="preserve">タカチ </t>
    </r>
    <r>
      <rPr>
        <sz val="10"/>
        <rFont val="Arial"/>
        <family val="0"/>
        <charset val="1"/>
      </rPr>
      <t xml:space="preserve">AG</t>
    </r>
    <r>
      <rPr>
        <sz val="10"/>
        <rFont val="Noto Sans CJK SC"/>
        <family val="2"/>
      </rPr>
      <t xml:space="preserve">シリーズ 高防水</t>
    </r>
  </si>
  <si>
    <r>
      <rPr>
        <sz val="10"/>
        <rFont val="Noto Sans CJK SC"/>
        <family val="2"/>
      </rPr>
      <t xml:space="preserve">水上</t>
    </r>
    <r>
      <rPr>
        <sz val="10"/>
        <rFont val="Arial"/>
        <family val="0"/>
        <charset val="1"/>
      </rPr>
      <t xml:space="preserve">BOX</t>
    </r>
    <r>
      <rPr>
        <sz val="10"/>
        <rFont val="Noto Sans CJK SC"/>
        <family val="2"/>
      </rPr>
      <t xml:space="preserve">の貫通</t>
    </r>
  </si>
  <si>
    <t xml:space="preserve">アクションカメラ</t>
  </si>
  <si>
    <t xml:space="preserve">DJI Osmo Action 6</t>
  </si>
  <si>
    <r>
      <rPr>
        <sz val="10"/>
        <rFont val="Noto Sans CJK SC"/>
        <family val="2"/>
      </rPr>
      <t xml:space="preserve">マッピング撮影。内蔵</t>
    </r>
    <r>
      <rPr>
        <sz val="10"/>
        <rFont val="Arial"/>
        <family val="0"/>
        <charset val="1"/>
      </rPr>
      <t xml:space="preserve">IMU</t>
    </r>
    <r>
      <rPr>
        <sz val="10"/>
        <rFont val="Noto Sans CJK SC"/>
        <family val="2"/>
      </rPr>
      <t xml:space="preserve">・水深計・防水</t>
    </r>
    <r>
      <rPr>
        <sz val="10"/>
        <rFont val="Arial"/>
        <family val="0"/>
        <charset val="1"/>
      </rPr>
      <t xml:space="preserve">20m</t>
    </r>
    <r>
      <rPr>
        <sz val="10"/>
        <rFont val="Noto Sans CJK SC"/>
        <family val="2"/>
      </rPr>
      <t xml:space="preserve">・タイムコード</t>
    </r>
  </si>
  <si>
    <t xml:space="preserve">予備バッテリ</t>
  </si>
  <si>
    <r>
      <rPr>
        <sz val="10"/>
        <rFont val="Arial"/>
        <family val="0"/>
        <charset val="1"/>
      </rPr>
      <t xml:space="preserve">Osmo</t>
    </r>
    <r>
      <rPr>
        <sz val="10"/>
        <rFont val="Noto Sans CJK SC"/>
        <family val="2"/>
      </rPr>
      <t xml:space="preserve">予備 </t>
    </r>
    <r>
      <rPr>
        <sz val="10"/>
        <rFont val="Arial"/>
        <family val="0"/>
        <charset val="1"/>
      </rPr>
      <t xml:space="preserve">or </t>
    </r>
    <r>
      <rPr>
        <sz val="10"/>
        <rFont val="Noto Sans CJK SC"/>
        <family val="2"/>
      </rPr>
      <t xml:space="preserve">デュアルバッテリハンドル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</si>
  <si>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時間運用の保険</t>
    </r>
  </si>
  <si>
    <t xml:space="preserve">水中ライト（ビーコン）</t>
  </si>
  <si>
    <r>
      <rPr>
        <sz val="10"/>
        <rFont val="Noto Sans CJK SC"/>
        <family val="2"/>
      </rPr>
      <t xml:space="preserve">中出力（数</t>
    </r>
    <r>
      <rPr>
        <sz val="10"/>
        <rFont val="Arial"/>
        <family val="0"/>
        <charset val="1"/>
      </rPr>
      <t xml:space="preserve">W</t>
    </r>
    <r>
      <rPr>
        <sz val="10"/>
        <rFont val="Noto Sans CJK SC"/>
        <family val="2"/>
      </rPr>
      <t xml:space="preserve">運用）</t>
    </r>
  </si>
  <si>
    <t xml:space="preserve">親機カメラ用光源。明るさは絞り電池節約</t>
  </si>
  <si>
    <r>
      <rPr>
        <sz val="10"/>
        <rFont val="Arial"/>
        <family val="0"/>
        <charset val="1"/>
      </rPr>
      <t xml:space="preserve">BMI270 </t>
    </r>
    <r>
      <rPr>
        <sz val="10"/>
        <rFont val="Noto Sans CJK SC"/>
        <family val="2"/>
      </rPr>
      <t xml:space="preserve">モジュール</t>
    </r>
  </si>
  <si>
    <t xml:space="preserve">子機姿勢</t>
  </si>
  <si>
    <r>
      <rPr>
        <sz val="10"/>
        <rFont val="Arial"/>
        <family val="0"/>
        <charset val="1"/>
      </rPr>
      <t xml:space="preserve">RX</t>
    </r>
    <r>
      <rPr>
        <sz val="10"/>
        <rFont val="Noto Sans CJK SC"/>
        <family val="2"/>
      </rPr>
      <t xml:space="preserve">時刻ログ</t>
    </r>
  </si>
  <si>
    <r>
      <rPr>
        <sz val="10"/>
        <rFont val="Arial"/>
        <family val="0"/>
        <charset val="1"/>
      </rPr>
      <t xml:space="preserve">Raspberry Pi Pico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RP2040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×2</t>
    </r>
  </si>
  <si>
    <r>
      <rPr>
        <sz val="10"/>
        <rFont val="Arial"/>
        <family val="0"/>
        <charset val="1"/>
      </rPr>
      <t xml:space="preserve">RX</t>
    </r>
    <r>
      <rPr>
        <sz val="10"/>
        <rFont val="Noto Sans CJK SC"/>
        <family val="2"/>
      </rPr>
      <t xml:space="preserve">エッジを</t>
    </r>
    <r>
      <rPr>
        <sz val="10"/>
        <rFont val="Arial"/>
        <family val="0"/>
        <charset val="1"/>
      </rPr>
      <t xml:space="preserve">PIO</t>
    </r>
    <r>
      <rPr>
        <sz val="10"/>
        <rFont val="Noto Sans CJK SC"/>
        <family val="2"/>
      </rPr>
      <t xml:space="preserve">で</t>
    </r>
    <r>
      <rPr>
        <sz val="10"/>
        <rFont val="Arial"/>
        <family val="0"/>
        <charset val="1"/>
      </rPr>
      <t xml:space="preserve">µs</t>
    </r>
    <r>
      <rPr>
        <sz val="10"/>
        <rFont val="Noto Sans CJK SC"/>
        <family val="2"/>
      </rPr>
      <t xml:space="preserve">計測。予備込</t>
    </r>
  </si>
  <si>
    <r>
      <rPr>
        <sz val="10"/>
        <rFont val="Noto Sans CJK SC"/>
        <family val="2"/>
      </rPr>
      <t xml:space="preserve">音響振動子</t>
    </r>
    <r>
      <rPr>
        <sz val="10"/>
        <rFont val="Arial"/>
        <family val="0"/>
        <charset val="1"/>
      </rPr>
      <t xml:space="preserve">(RX)</t>
    </r>
  </si>
  <si>
    <r>
      <rPr>
        <sz val="10"/>
        <rFont val="Noto Sans CJK SC"/>
        <family val="2"/>
      </rPr>
      <t xml:space="preserve">コネクタ化し将来</t>
    </r>
    <r>
      <rPr>
        <sz val="10"/>
        <rFont val="Arial"/>
        <family val="0"/>
        <charset val="1"/>
      </rPr>
      <t xml:space="preserve">50kHz</t>
    </r>
    <r>
      <rPr>
        <sz val="10"/>
        <rFont val="Noto Sans CJK SC"/>
        <family val="2"/>
      </rPr>
      <t xml:space="preserve">素子へ差替可</t>
    </r>
  </si>
  <si>
    <r>
      <rPr>
        <sz val="10"/>
        <rFont val="Arial"/>
        <family val="0"/>
        <charset val="1"/>
      </rPr>
      <t xml:space="preserve">RX</t>
    </r>
    <r>
      <rPr>
        <sz val="10"/>
        <rFont val="Noto Sans CJK SC"/>
        <family val="2"/>
      </rPr>
      <t xml:space="preserve">受信基板</t>
    </r>
  </si>
  <si>
    <r>
      <rPr>
        <sz val="10"/>
        <rFont val="Noto Sans CJK SC"/>
        <family val="2"/>
      </rPr>
      <t xml:space="preserve">自作</t>
    </r>
    <r>
      <rPr>
        <sz val="10"/>
        <rFont val="Arial"/>
        <family val="0"/>
        <charset val="1"/>
      </rPr>
      <t xml:space="preserve">PCB</t>
    </r>
    <r>
      <rPr>
        <sz val="10"/>
        <rFont val="Noto Sans CJK SC"/>
        <family val="2"/>
      </rPr>
      <t xml:space="preserve">＋部品（</t>
    </r>
    <r>
      <rPr>
        <sz val="10"/>
        <rFont val="Arial"/>
        <family val="0"/>
        <charset val="1"/>
      </rPr>
      <t xml:space="preserve">OP</t>
    </r>
    <r>
      <rPr>
        <sz val="10"/>
        <rFont val="Noto Sans CJK SC"/>
        <family val="2"/>
      </rPr>
      <t xml:space="preserve">アンプ・コンパレータ等）</t>
    </r>
  </si>
  <si>
    <r>
      <rPr>
        <sz val="10"/>
        <rFont val="Arial"/>
        <family val="0"/>
        <charset val="1"/>
      </rPr>
      <t xml:space="preserve">BPF</t>
    </r>
    <r>
      <rPr>
        <sz val="10"/>
        <rFont val="Noto Sans CJK SC"/>
        <family val="2"/>
      </rPr>
      <t xml:space="preserve">段を差替可能に（</t>
    </r>
    <r>
      <rPr>
        <sz val="10"/>
        <rFont val="Arial"/>
        <family val="0"/>
        <charset val="1"/>
      </rPr>
      <t xml:space="preserve">50kHz</t>
    </r>
    <r>
      <rPr>
        <sz val="10"/>
        <rFont val="Noto Sans CJK SC"/>
        <family val="2"/>
      </rPr>
      <t xml:space="preserve">対応）</t>
    </r>
  </si>
  <si>
    <t xml:space="preserve">バッテリ</t>
  </si>
  <si>
    <r>
      <rPr>
        <sz val="10"/>
        <rFont val="Arial"/>
        <family val="0"/>
        <charset val="1"/>
      </rPr>
      <t xml:space="preserve">LiPo 3S 4000-5000mAh</t>
    </r>
    <r>
      <rPr>
        <sz val="10"/>
        <rFont val="Noto Sans CJK SC"/>
        <family val="2"/>
      </rPr>
      <t xml:space="preserve">（約</t>
    </r>
    <r>
      <rPr>
        <sz val="10"/>
        <rFont val="Arial"/>
        <family val="0"/>
        <charset val="1"/>
      </rPr>
      <t xml:space="preserve">44-55Wh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</si>
  <si>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時間＋余裕</t>
    </r>
  </si>
  <si>
    <t xml:space="preserve">電源回路</t>
  </si>
  <si>
    <r>
      <rPr>
        <sz val="10"/>
        <rFont val="Arial"/>
        <family val="0"/>
        <charset val="1"/>
      </rPr>
      <t xml:space="preserve">DC-DC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5V/3.3V</t>
    </r>
    <r>
      <rPr>
        <sz val="10"/>
        <rFont val="Noto Sans CJK SC"/>
        <family val="2"/>
      </rPr>
      <t xml:space="preserve">）＋部品</t>
    </r>
  </si>
  <si>
    <t xml:space="preserve">耐圧容器</t>
  </si>
  <si>
    <r>
      <rPr>
        <sz val="10"/>
        <rFont val="Arial"/>
        <family val="0"/>
        <charset val="1"/>
      </rPr>
      <t xml:space="preserve">BlueRobotics</t>
    </r>
    <r>
      <rPr>
        <sz val="10"/>
        <rFont val="Noto Sans CJK SC"/>
        <family val="2"/>
      </rPr>
      <t xml:space="preserve">製</t>
    </r>
  </si>
  <si>
    <t xml:space="preserve">自宅在庫を流用</t>
  </si>
  <si>
    <t xml:space="preserve">流用</t>
  </si>
  <si>
    <t xml:space="preserve">おもり</t>
  </si>
  <si>
    <t xml:space="preserve">-</t>
  </si>
  <si>
    <t xml:space="preserve">水中ケーブル</t>
  </si>
  <si>
    <r>
      <rPr>
        <sz val="10"/>
        <rFont val="Noto Sans CJK SC"/>
        <family val="2"/>
      </rPr>
      <t xml:space="preserve">信号用 </t>
    </r>
    <r>
      <rPr>
        <sz val="10"/>
        <rFont val="Arial"/>
        <family val="0"/>
        <charset val="1"/>
      </rPr>
      <t xml:space="preserve">30m</t>
    </r>
    <r>
      <rPr>
        <sz val="10"/>
        <rFont val="Noto Sans CJK SC"/>
        <family val="2"/>
      </rPr>
      <t xml:space="preserve">以上（電源は流さない）</t>
    </r>
  </si>
  <si>
    <r>
      <rPr>
        <sz val="10"/>
        <rFont val="Noto Sans CJK SC"/>
        <family val="2"/>
      </rPr>
      <t xml:space="preserve">有線トリガ同期＋</t>
    </r>
    <r>
      <rPr>
        <sz val="10"/>
        <rFont val="Arial"/>
        <family val="0"/>
        <charset val="1"/>
      </rPr>
      <t xml:space="preserve">RS485</t>
    </r>
    <r>
      <rPr>
        <sz val="10"/>
        <rFont val="Noto Sans CJK SC"/>
        <family val="2"/>
      </rPr>
      <t xml:space="preserve">。細径可</t>
    </r>
  </si>
  <si>
    <r>
      <rPr>
        <sz val="10"/>
        <rFont val="Arial"/>
        <family val="0"/>
        <charset val="1"/>
      </rPr>
      <t xml:space="preserve">RS485</t>
    </r>
    <r>
      <rPr>
        <sz val="10"/>
        <rFont val="Noto Sans CJK SC"/>
        <family val="2"/>
      </rPr>
      <t xml:space="preserve">変換</t>
    </r>
  </si>
  <si>
    <t xml:space="preserve">Waveshare TTL-RS485 ×2</t>
  </si>
  <si>
    <r>
      <rPr>
        <sz val="10"/>
        <rFont val="Noto Sans CJK SC"/>
        <family val="2"/>
      </rPr>
      <t xml:space="preserve">親子各</t>
    </r>
    <r>
      <rPr>
        <sz val="10"/>
        <rFont val="Arial"/>
        <family val="0"/>
        <charset val="1"/>
      </rPr>
      <t xml:space="preserve">1</t>
    </r>
  </si>
  <si>
    <t xml:space="preserve">ペネトレーター</t>
  </si>
  <si>
    <t xml:space="preserve">BlueRobotics Wetlink ×6</t>
  </si>
  <si>
    <t xml:space="preserve">親子の貫通部</t>
  </si>
  <si>
    <t xml:space="preserve">巻尺・測量テープ</t>
  </si>
  <si>
    <r>
      <rPr>
        <sz val="10"/>
        <rFont val="Noto Sans CJK SC"/>
        <family val="2"/>
      </rPr>
      <t xml:space="preserve">学校の物を借用できれば</t>
    </r>
    <r>
      <rPr>
        <sz val="10"/>
        <rFont val="Arial"/>
        <family val="0"/>
        <charset val="1"/>
      </rPr>
      <t xml:space="preserve">0</t>
    </r>
  </si>
  <si>
    <t xml:space="preserve">キャリブレーション板</t>
  </si>
  <si>
    <r>
      <rPr>
        <sz val="10"/>
        <rFont val="Noto Sans CJK SC"/>
        <family val="2"/>
      </rPr>
      <t xml:space="preserve">チェッカーボード </t>
    </r>
    <r>
      <rPr>
        <sz val="10"/>
        <rFont val="Arial"/>
        <family val="0"/>
        <charset val="1"/>
      </rPr>
      <t xml:space="preserve">A3</t>
    </r>
    <r>
      <rPr>
        <sz val="10"/>
        <rFont val="Noto Sans CJK SC"/>
        <family val="2"/>
      </rPr>
      <t xml:space="preserve">＋ラミネート</t>
    </r>
  </si>
  <si>
    <t xml:space="preserve">水中・ハウジング越しで較正</t>
  </si>
  <si>
    <t xml:space="preserve">濁度計</t>
  </si>
  <si>
    <r>
      <rPr>
        <sz val="10"/>
        <rFont val="Noto Sans CJK SC"/>
        <family val="2"/>
      </rPr>
      <t xml:space="preserve">簡易濁度センサ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計</t>
    </r>
  </si>
  <si>
    <t xml:space="preserve">濁度条件の記録</t>
  </si>
  <si>
    <t xml:space="preserve">海藻モデル</t>
  </si>
  <si>
    <t xml:space="preserve">人工海藻等</t>
  </si>
  <si>
    <t xml:space="preserve">藻場模擬</t>
  </si>
  <si>
    <t xml:space="preserve">既知物体</t>
  </si>
  <si>
    <t xml:space="preserve">キューブ等</t>
  </si>
  <si>
    <t xml:space="preserve">マッピング精度評価用</t>
  </si>
  <si>
    <r>
      <rPr>
        <sz val="10"/>
        <rFont val="Arial"/>
        <family val="0"/>
        <charset val="1"/>
      </rPr>
      <t xml:space="preserve">3D</t>
    </r>
    <r>
      <rPr>
        <sz val="10"/>
        <rFont val="Noto Sans CJK SC"/>
        <family val="2"/>
      </rPr>
      <t xml:space="preserve">プリント材料</t>
    </r>
  </si>
  <si>
    <r>
      <rPr>
        <sz val="10"/>
        <rFont val="Arial"/>
        <family val="0"/>
        <charset val="1"/>
      </rPr>
      <t xml:space="preserve">PETG/ASA </t>
    </r>
    <r>
      <rPr>
        <sz val="10"/>
        <rFont val="Noto Sans CJK SC"/>
        <family val="2"/>
      </rPr>
      <t xml:space="preserve">フィラメント</t>
    </r>
  </si>
  <si>
    <t xml:space="preserve">フレーム・浮子</t>
  </si>
  <si>
    <t xml:space="preserve">浮子（ウキ）</t>
  </si>
  <si>
    <t xml:space="preserve">フレーム浮力</t>
  </si>
  <si>
    <t xml:space="preserve">予備部品・配線・防水材</t>
  </si>
  <si>
    <r>
      <rPr>
        <sz val="10"/>
        <rFont val="Noto Sans CJK SC"/>
        <family val="2"/>
      </rPr>
      <t xml:space="preserve">コネクタ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エポキシ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シリコン等</t>
    </r>
  </si>
  <si>
    <r>
      <rPr>
        <sz val="10"/>
        <rFont val="Arial"/>
        <family val="0"/>
        <charset val="1"/>
      </rPr>
      <t xml:space="preserve">PCB</t>
    </r>
    <r>
      <rPr>
        <sz val="10"/>
        <rFont val="Noto Sans CJK SC"/>
        <family val="2"/>
      </rPr>
      <t xml:space="preserve">作り直し予備</t>
    </r>
  </si>
  <si>
    <t xml:space="preserve">追加試作分</t>
  </si>
  <si>
    <t xml:space="preserve">合計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</si>
</sst>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b val="true"/>
      <sz val="11"/>
      <name val="Noto Sans CJK SC"/>
      <family val="2"/>
    </font>
    <font>
      <sz val="11"/>
      <color theme="1"/>
      <name val="Noto Sans CJK SC"/>
      <family val="2"/>
    </font>
    <font>
      <b val="true"/>
      <sz val="11"/>
      <color rgb="FF1F3B57"/>
      <name val="Arial"/>
      <family val="0"/>
      <charset val="1"/>
    </font>
    <font>
      <i val="true"/>
      <sz val="9"/>
      <color rgb="FF777777"/>
      <name val="Noto Sans CJK SC"/>
      <family val="2"/>
    </font>
    <font>
      <i val="true"/>
      <sz val="9"/>
      <color rgb="FF777777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AF1FB"/>
        <bgColor rgb="FFEDEDED"/>
      </patternFill>
    </fill>
    <fill>
      <patternFill patternType="solid">
        <fgColor rgb="FF1F3B57"/>
        <bgColor rgb="FF003366"/>
      </patternFill>
    </fill>
    <fill>
      <patternFill patternType="solid">
        <fgColor rgb="FFFFF6D6"/>
        <bgColor rgb="FFEDEDED"/>
      </patternFill>
    </fill>
    <fill>
      <patternFill patternType="solid">
        <fgColor rgb="FFEDEDED"/>
        <bgColor rgb="FFEAF1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777777"/>
      <rgbColor rgb="FF9999FF"/>
      <rgbColor rgb="FF993366"/>
      <rgbColor rgb="FFFFF6D6"/>
      <rgbColor rgb="FFEAF1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B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34"/>
    <col collapsed="false" customWidth="true" hidden="false" outlineLevel="0" max="8" min="8" style="0" width="7"/>
  </cols>
  <sheetData>
    <row r="1" customFormat="false" ht="21.6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1</v>
      </c>
      <c r="B3" s="3" t="n">
        <v>500000</v>
      </c>
      <c r="D3" s="4" t="s">
        <v>2</v>
      </c>
    </row>
    <row r="4" customFormat="false" ht="15" hidden="false" customHeight="false" outlineLevel="0" collapsed="false">
      <c r="A4" s="2" t="s">
        <v>3</v>
      </c>
      <c r="B4" s="3" t="n">
        <f aca="false">SUM(F10:F47)</f>
        <v>305700</v>
      </c>
      <c r="D4" s="5" t="s">
        <v>4</v>
      </c>
      <c r="E4" s="6" t="n">
        <f aca="false">SUMIF($A$10:$A$47,D4,$F$10:$F$47)</f>
        <v>84000</v>
      </c>
    </row>
    <row r="5" customFormat="false" ht="15" hidden="false" customHeight="false" outlineLevel="0" collapsed="false">
      <c r="A5" s="2" t="s">
        <v>5</v>
      </c>
      <c r="B5" s="7" t="n">
        <f aca="false">B3-B4</f>
        <v>194300</v>
      </c>
      <c r="D5" s="5" t="s">
        <v>6</v>
      </c>
      <c r="E5" s="6" t="n">
        <f aca="false">SUMIF($A$10:$A$47,D5,$F$10:$F$47)</f>
        <v>158700</v>
      </c>
    </row>
    <row r="6" customFormat="false" ht="15" hidden="false" customHeight="false" outlineLevel="0" collapsed="false">
      <c r="A6" s="8" t="s">
        <v>7</v>
      </c>
      <c r="B6" s="8"/>
      <c r="C6" s="8"/>
      <c r="D6" s="5" t="s">
        <v>8</v>
      </c>
      <c r="E6" s="6" t="n">
        <f aca="false">SUMIF($A$10:$A$47,D6,$F$10:$F$47)</f>
        <v>27000</v>
      </c>
    </row>
    <row r="7" customFormat="false" ht="15" hidden="false" customHeight="false" outlineLevel="0" collapsed="false">
      <c r="D7" s="5" t="s">
        <v>9</v>
      </c>
      <c r="E7" s="6" t="n">
        <f aca="false">SUMIF($A$10:$A$47,D7,$F$10:$F$47)</f>
        <v>16000</v>
      </c>
    </row>
    <row r="8" customFormat="false" ht="15" hidden="false" customHeight="false" outlineLevel="0" collapsed="false">
      <c r="D8" s="5" t="s">
        <v>10</v>
      </c>
      <c r="E8" s="6" t="n">
        <f aca="false">SUMIF($A$10:$A$47,D8,$F$10:$F$47)</f>
        <v>20000</v>
      </c>
    </row>
    <row r="9" customFormat="false" ht="17.15" hidden="false" customHeight="false" outlineLevel="0" collapsed="false">
      <c r="A9" s="9" t="s">
        <v>11</v>
      </c>
      <c r="B9" s="9" t="s">
        <v>12</v>
      </c>
      <c r="C9" s="9" t="s">
        <v>13</v>
      </c>
      <c r="D9" s="9" t="s">
        <v>14</v>
      </c>
      <c r="E9" s="9" t="s">
        <v>15</v>
      </c>
      <c r="F9" s="9" t="s">
        <v>16</v>
      </c>
      <c r="G9" s="9" t="s">
        <v>17</v>
      </c>
      <c r="H9" s="9" t="s">
        <v>18</v>
      </c>
    </row>
    <row r="10" customFormat="false" ht="15" hidden="false" customHeight="false" outlineLevel="0" collapsed="false">
      <c r="A10" s="10" t="s">
        <v>4</v>
      </c>
      <c r="B10" s="10" t="s">
        <v>19</v>
      </c>
      <c r="C10" s="11" t="s">
        <v>20</v>
      </c>
      <c r="D10" s="12" t="n">
        <v>1</v>
      </c>
      <c r="E10" s="13" t="n">
        <v>5000</v>
      </c>
      <c r="F10" s="13" t="n">
        <f aca="false">D10*E10</f>
        <v>5000</v>
      </c>
      <c r="G10" s="11" t="s">
        <v>21</v>
      </c>
      <c r="H10" s="14" t="s">
        <v>22</v>
      </c>
    </row>
    <row r="11" customFormat="false" ht="29.85" hidden="false" customHeight="false" outlineLevel="0" collapsed="false">
      <c r="A11" s="10" t="s">
        <v>4</v>
      </c>
      <c r="B11" s="15" t="s">
        <v>23</v>
      </c>
      <c r="C11" s="16" t="s">
        <v>24</v>
      </c>
      <c r="D11" s="14" t="n">
        <v>1</v>
      </c>
      <c r="E11" s="13" t="n">
        <v>5000</v>
      </c>
      <c r="F11" s="13" t="n">
        <f aca="false">D11*E11</f>
        <v>5000</v>
      </c>
      <c r="G11" s="11" t="s">
        <v>25</v>
      </c>
      <c r="H11" s="14" t="s">
        <v>22</v>
      </c>
    </row>
    <row r="12" customFormat="false" ht="29.85" hidden="false" customHeight="false" outlineLevel="0" collapsed="false">
      <c r="A12" s="10" t="s">
        <v>4</v>
      </c>
      <c r="B12" s="15" t="s">
        <v>26</v>
      </c>
      <c r="C12" s="16" t="s">
        <v>27</v>
      </c>
      <c r="D12" s="14" t="n">
        <v>1</v>
      </c>
      <c r="E12" s="13" t="n">
        <v>10000</v>
      </c>
      <c r="F12" s="13" t="n">
        <f aca="false">D12*E12</f>
        <v>10000</v>
      </c>
      <c r="G12" s="11" t="s">
        <v>28</v>
      </c>
      <c r="H12" s="14" t="s">
        <v>22</v>
      </c>
    </row>
    <row r="13" customFormat="false" ht="15" hidden="false" customHeight="false" outlineLevel="0" collapsed="false">
      <c r="A13" s="10" t="s">
        <v>4</v>
      </c>
      <c r="B13" s="10" t="s">
        <v>29</v>
      </c>
      <c r="C13" s="16" t="s">
        <v>30</v>
      </c>
      <c r="D13" s="14" t="n">
        <v>1</v>
      </c>
      <c r="E13" s="13" t="n">
        <v>6000</v>
      </c>
      <c r="F13" s="13" t="n">
        <f aca="false">D13*E13</f>
        <v>6000</v>
      </c>
      <c r="G13" s="16" t="s">
        <v>31</v>
      </c>
      <c r="H13" s="14" t="s">
        <v>22</v>
      </c>
    </row>
    <row r="14" customFormat="false" ht="15" hidden="false" customHeight="false" outlineLevel="0" collapsed="false">
      <c r="A14" s="10" t="s">
        <v>4</v>
      </c>
      <c r="B14" s="15" t="s">
        <v>32</v>
      </c>
      <c r="C14" s="16" t="s">
        <v>33</v>
      </c>
      <c r="D14" s="14" t="n">
        <v>1</v>
      </c>
      <c r="E14" s="13" t="n">
        <v>12000</v>
      </c>
      <c r="F14" s="13" t="n">
        <f aca="false">D14*E14</f>
        <v>12000</v>
      </c>
      <c r="G14" s="11" t="s">
        <v>34</v>
      </c>
      <c r="H14" s="14" t="s">
        <v>22</v>
      </c>
    </row>
    <row r="15" customFormat="false" ht="15" hidden="false" customHeight="false" outlineLevel="0" collapsed="false">
      <c r="A15" s="10" t="s">
        <v>4</v>
      </c>
      <c r="B15" s="10" t="s">
        <v>35</v>
      </c>
      <c r="C15" s="11" t="s">
        <v>36</v>
      </c>
      <c r="D15" s="14" t="n">
        <v>1</v>
      </c>
      <c r="E15" s="13" t="n">
        <v>5000</v>
      </c>
      <c r="F15" s="13" t="n">
        <f aca="false">D15*E15</f>
        <v>5000</v>
      </c>
      <c r="G15" s="11" t="s">
        <v>37</v>
      </c>
      <c r="H15" s="17" t="s">
        <v>38</v>
      </c>
    </row>
    <row r="16" customFormat="false" ht="15" hidden="false" customHeight="false" outlineLevel="0" collapsed="false">
      <c r="A16" s="10" t="s">
        <v>4</v>
      </c>
      <c r="B16" s="15" t="s">
        <v>39</v>
      </c>
      <c r="C16" s="16" t="s">
        <v>40</v>
      </c>
      <c r="D16" s="14" t="n">
        <v>1</v>
      </c>
      <c r="E16" s="13" t="n">
        <v>1000</v>
      </c>
      <c r="F16" s="13" t="n">
        <f aca="false">D16*E16</f>
        <v>1000</v>
      </c>
      <c r="G16" s="11" t="s">
        <v>41</v>
      </c>
      <c r="H16" s="14" t="s">
        <v>22</v>
      </c>
    </row>
    <row r="17" customFormat="false" ht="29.85" hidden="false" customHeight="false" outlineLevel="0" collapsed="false">
      <c r="A17" s="10" t="s">
        <v>4</v>
      </c>
      <c r="B17" s="10" t="s">
        <v>42</v>
      </c>
      <c r="C17" s="16" t="s">
        <v>43</v>
      </c>
      <c r="D17" s="14" t="n">
        <v>1</v>
      </c>
      <c r="E17" s="13" t="n">
        <v>5000</v>
      </c>
      <c r="F17" s="13" t="n">
        <f aca="false">D17*E17</f>
        <v>5000</v>
      </c>
      <c r="G17" s="11" t="s">
        <v>44</v>
      </c>
      <c r="H17" s="14" t="s">
        <v>22</v>
      </c>
    </row>
    <row r="18" customFormat="false" ht="15" hidden="false" customHeight="false" outlineLevel="0" collapsed="false">
      <c r="A18" s="10" t="s">
        <v>4</v>
      </c>
      <c r="B18" s="15" t="s">
        <v>45</v>
      </c>
      <c r="C18" s="11" t="s">
        <v>46</v>
      </c>
      <c r="D18" s="14" t="n">
        <v>1</v>
      </c>
      <c r="E18" s="13" t="n">
        <v>7000</v>
      </c>
      <c r="F18" s="13" t="n">
        <f aca="false">D18*E18</f>
        <v>7000</v>
      </c>
      <c r="G18" s="11" t="s">
        <v>47</v>
      </c>
      <c r="H18" s="14" t="s">
        <v>22</v>
      </c>
    </row>
    <row r="19" customFormat="false" ht="26.85" hidden="false" customHeight="false" outlineLevel="0" collapsed="false">
      <c r="A19" s="10" t="s">
        <v>4</v>
      </c>
      <c r="B19" s="10" t="s">
        <v>48</v>
      </c>
      <c r="C19" s="16" t="s">
        <v>49</v>
      </c>
      <c r="D19" s="14" t="n">
        <v>1</v>
      </c>
      <c r="E19" s="13" t="n">
        <v>9000</v>
      </c>
      <c r="F19" s="13" t="n">
        <f aca="false">D19*E19</f>
        <v>9000</v>
      </c>
      <c r="G19" s="11" t="s">
        <v>50</v>
      </c>
      <c r="H19" s="14" t="s">
        <v>22</v>
      </c>
    </row>
    <row r="20" customFormat="false" ht="29.85" hidden="false" customHeight="false" outlineLevel="0" collapsed="false">
      <c r="A20" s="10" t="s">
        <v>4</v>
      </c>
      <c r="B20" s="10" t="s">
        <v>51</v>
      </c>
      <c r="C20" s="16" t="s">
        <v>52</v>
      </c>
      <c r="D20" s="14" t="n">
        <v>1</v>
      </c>
      <c r="E20" s="13" t="n">
        <v>6000</v>
      </c>
      <c r="F20" s="13" t="n">
        <f aca="false">D20*E20</f>
        <v>6000</v>
      </c>
      <c r="G20" s="11" t="s">
        <v>53</v>
      </c>
      <c r="H20" s="14" t="s">
        <v>22</v>
      </c>
    </row>
    <row r="21" customFormat="false" ht="15" hidden="false" customHeight="false" outlineLevel="0" collapsed="false">
      <c r="A21" s="10" t="s">
        <v>4</v>
      </c>
      <c r="B21" s="10" t="s">
        <v>54</v>
      </c>
      <c r="C21" s="16" t="s">
        <v>55</v>
      </c>
      <c r="D21" s="14" t="n">
        <v>1</v>
      </c>
      <c r="E21" s="13" t="n">
        <v>7000</v>
      </c>
      <c r="F21" s="13" t="n">
        <f aca="false">D21*E21</f>
        <v>7000</v>
      </c>
      <c r="G21" s="11" t="s">
        <v>56</v>
      </c>
      <c r="H21" s="14" t="s">
        <v>22</v>
      </c>
    </row>
    <row r="22" customFormat="false" ht="15" hidden="false" customHeight="false" outlineLevel="0" collapsed="false">
      <c r="A22" s="10" t="s">
        <v>4</v>
      </c>
      <c r="B22" s="10" t="s">
        <v>57</v>
      </c>
      <c r="C22" s="16" t="s">
        <v>58</v>
      </c>
      <c r="D22" s="14" t="n">
        <v>1</v>
      </c>
      <c r="E22" s="13" t="n">
        <v>3000</v>
      </c>
      <c r="F22" s="13" t="n">
        <f aca="false">D22*E22</f>
        <v>3000</v>
      </c>
      <c r="G22" s="16" t="s">
        <v>59</v>
      </c>
      <c r="H22" s="14" t="s">
        <v>22</v>
      </c>
    </row>
    <row r="23" customFormat="false" ht="15" hidden="false" customHeight="false" outlineLevel="0" collapsed="false">
      <c r="A23" s="10" t="s">
        <v>4</v>
      </c>
      <c r="B23" s="10" t="s">
        <v>60</v>
      </c>
      <c r="C23" s="11" t="s">
        <v>61</v>
      </c>
      <c r="D23" s="14" t="n">
        <v>2</v>
      </c>
      <c r="E23" s="13" t="n">
        <v>1500</v>
      </c>
      <c r="F23" s="13" t="n">
        <f aca="false">D23*E23</f>
        <v>3000</v>
      </c>
      <c r="G23" s="11" t="s">
        <v>62</v>
      </c>
      <c r="H23" s="14" t="s">
        <v>22</v>
      </c>
    </row>
    <row r="24" customFormat="false" ht="29.85" hidden="false" customHeight="false" outlineLevel="0" collapsed="false">
      <c r="A24" s="10" t="s">
        <v>6</v>
      </c>
      <c r="B24" s="10" t="s">
        <v>63</v>
      </c>
      <c r="C24" s="16" t="s">
        <v>64</v>
      </c>
      <c r="D24" s="14" t="n">
        <v>2</v>
      </c>
      <c r="E24" s="13" t="n">
        <v>60000</v>
      </c>
      <c r="F24" s="13" t="n">
        <f aca="false">D24*E24</f>
        <v>120000</v>
      </c>
      <c r="G24" s="11" t="s">
        <v>65</v>
      </c>
      <c r="H24" s="14" t="s">
        <v>22</v>
      </c>
    </row>
    <row r="25" customFormat="false" ht="15" hidden="false" customHeight="false" outlineLevel="0" collapsed="false">
      <c r="A25" s="10" t="s">
        <v>6</v>
      </c>
      <c r="B25" s="10" t="s">
        <v>66</v>
      </c>
      <c r="C25" s="16" t="s">
        <v>67</v>
      </c>
      <c r="D25" s="14" t="n">
        <v>1</v>
      </c>
      <c r="E25" s="13" t="n">
        <v>8000</v>
      </c>
      <c r="F25" s="13" t="n">
        <f aca="false">D25*E25</f>
        <v>8000</v>
      </c>
      <c r="G25" s="16" t="s">
        <v>68</v>
      </c>
      <c r="H25" s="17" t="s">
        <v>38</v>
      </c>
    </row>
    <row r="26" customFormat="false" ht="29.85" hidden="false" customHeight="false" outlineLevel="0" collapsed="false">
      <c r="A26" s="10" t="s">
        <v>6</v>
      </c>
      <c r="B26" s="10" t="s">
        <v>69</v>
      </c>
      <c r="C26" s="11" t="s">
        <v>70</v>
      </c>
      <c r="D26" s="14" t="n">
        <v>1</v>
      </c>
      <c r="E26" s="13" t="n">
        <v>8000</v>
      </c>
      <c r="F26" s="13" t="n">
        <f aca="false">D26*E26</f>
        <v>8000</v>
      </c>
      <c r="G26" s="11" t="s">
        <v>71</v>
      </c>
      <c r="H26" s="17" t="s">
        <v>38</v>
      </c>
    </row>
    <row r="27" customFormat="false" ht="15" hidden="false" customHeight="false" outlineLevel="0" collapsed="false">
      <c r="A27" s="10" t="s">
        <v>6</v>
      </c>
      <c r="B27" s="15" t="s">
        <v>32</v>
      </c>
      <c r="C27" s="16" t="s">
        <v>72</v>
      </c>
      <c r="D27" s="14" t="n">
        <v>1</v>
      </c>
      <c r="E27" s="13" t="n">
        <v>1500</v>
      </c>
      <c r="F27" s="13" t="n">
        <f aca="false">D27*E27</f>
        <v>1500</v>
      </c>
      <c r="G27" s="11" t="s">
        <v>73</v>
      </c>
      <c r="H27" s="14" t="s">
        <v>22</v>
      </c>
    </row>
    <row r="28" customFormat="false" ht="15" hidden="false" customHeight="false" outlineLevel="0" collapsed="false">
      <c r="A28" s="10" t="s">
        <v>6</v>
      </c>
      <c r="B28" s="15" t="s">
        <v>39</v>
      </c>
      <c r="C28" s="16" t="s">
        <v>40</v>
      </c>
      <c r="D28" s="14" t="n">
        <v>1</v>
      </c>
      <c r="E28" s="13" t="n">
        <v>1000</v>
      </c>
      <c r="F28" s="13" t="n">
        <f aca="false">D28*E28</f>
        <v>1000</v>
      </c>
      <c r="G28" s="16" t="s">
        <v>74</v>
      </c>
      <c r="H28" s="14" t="s">
        <v>22</v>
      </c>
    </row>
    <row r="29" customFormat="false" ht="15" hidden="false" customHeight="false" outlineLevel="0" collapsed="false">
      <c r="A29" s="10" t="s">
        <v>6</v>
      </c>
      <c r="B29" s="10" t="s">
        <v>29</v>
      </c>
      <c r="C29" s="16" t="s">
        <v>75</v>
      </c>
      <c r="D29" s="14" t="n">
        <v>2</v>
      </c>
      <c r="E29" s="13" t="n">
        <v>600</v>
      </c>
      <c r="F29" s="13" t="n">
        <f aca="false">D29*E29</f>
        <v>1200</v>
      </c>
      <c r="G29" s="16" t="s">
        <v>76</v>
      </c>
      <c r="H29" s="14" t="s">
        <v>22</v>
      </c>
    </row>
    <row r="30" customFormat="false" ht="15" hidden="false" customHeight="false" outlineLevel="0" collapsed="false">
      <c r="A30" s="10" t="s">
        <v>6</v>
      </c>
      <c r="B30" s="10" t="s">
        <v>77</v>
      </c>
      <c r="C30" s="16" t="s">
        <v>43</v>
      </c>
      <c r="D30" s="14" t="n">
        <v>1</v>
      </c>
      <c r="E30" s="13" t="n">
        <v>5000</v>
      </c>
      <c r="F30" s="13" t="n">
        <f aca="false">D30*E30</f>
        <v>5000</v>
      </c>
      <c r="G30" s="11" t="s">
        <v>78</v>
      </c>
      <c r="H30" s="14" t="s">
        <v>22</v>
      </c>
    </row>
    <row r="31" customFormat="false" ht="29.85" hidden="false" customHeight="false" outlineLevel="0" collapsed="false">
      <c r="A31" s="10" t="s">
        <v>6</v>
      </c>
      <c r="B31" s="15" t="s">
        <v>79</v>
      </c>
      <c r="C31" s="11" t="s">
        <v>80</v>
      </c>
      <c r="D31" s="14" t="n">
        <v>1</v>
      </c>
      <c r="E31" s="13" t="n">
        <v>7000</v>
      </c>
      <c r="F31" s="13" t="n">
        <f aca="false">D31*E31</f>
        <v>7000</v>
      </c>
      <c r="G31" s="16" t="s">
        <v>81</v>
      </c>
      <c r="H31" s="14" t="s">
        <v>22</v>
      </c>
    </row>
    <row r="32" customFormat="false" ht="15" hidden="false" customHeight="false" outlineLevel="0" collapsed="false">
      <c r="A32" s="10" t="s">
        <v>6</v>
      </c>
      <c r="B32" s="10" t="s">
        <v>82</v>
      </c>
      <c r="C32" s="16" t="s">
        <v>83</v>
      </c>
      <c r="D32" s="14" t="n">
        <v>1</v>
      </c>
      <c r="E32" s="13" t="n">
        <v>5000</v>
      </c>
      <c r="F32" s="13" t="n">
        <f aca="false">D32*E32</f>
        <v>5000</v>
      </c>
      <c r="G32" s="16" t="s">
        <v>84</v>
      </c>
      <c r="H32" s="14" t="s">
        <v>22</v>
      </c>
    </row>
    <row r="33" customFormat="false" ht="15" hidden="false" customHeight="false" outlineLevel="0" collapsed="false">
      <c r="A33" s="10" t="s">
        <v>6</v>
      </c>
      <c r="B33" s="10" t="s">
        <v>85</v>
      </c>
      <c r="C33" s="16" t="s">
        <v>86</v>
      </c>
      <c r="D33" s="14" t="n">
        <v>1</v>
      </c>
      <c r="E33" s="13" t="n">
        <v>2000</v>
      </c>
      <c r="F33" s="13" t="n">
        <f aca="false">D33*E33</f>
        <v>2000</v>
      </c>
      <c r="G33" s="11"/>
      <c r="H33" s="14" t="s">
        <v>22</v>
      </c>
    </row>
    <row r="34" customFormat="false" ht="15" hidden="false" customHeight="false" outlineLevel="0" collapsed="false">
      <c r="A34" s="10" t="s">
        <v>6</v>
      </c>
      <c r="B34" s="10" t="s">
        <v>87</v>
      </c>
      <c r="C34" s="16" t="s">
        <v>88</v>
      </c>
      <c r="D34" s="14" t="n">
        <v>1</v>
      </c>
      <c r="E34" s="13" t="n">
        <v>0</v>
      </c>
      <c r="F34" s="13" t="n">
        <f aca="false">D34*E34</f>
        <v>0</v>
      </c>
      <c r="G34" s="11" t="s">
        <v>89</v>
      </c>
      <c r="H34" s="18" t="s">
        <v>90</v>
      </c>
    </row>
    <row r="35" customFormat="false" ht="15" hidden="false" customHeight="false" outlineLevel="0" collapsed="false">
      <c r="A35" s="10" t="s">
        <v>6</v>
      </c>
      <c r="B35" s="10" t="s">
        <v>91</v>
      </c>
      <c r="C35" s="16" t="s">
        <v>92</v>
      </c>
      <c r="D35" s="14" t="n">
        <v>1</v>
      </c>
      <c r="E35" s="13" t="n">
        <v>0</v>
      </c>
      <c r="F35" s="13" t="n">
        <f aca="false">D35*E35</f>
        <v>0</v>
      </c>
      <c r="G35" s="11" t="s">
        <v>89</v>
      </c>
      <c r="H35" s="18" t="s">
        <v>90</v>
      </c>
    </row>
    <row r="36" customFormat="false" ht="15" hidden="false" customHeight="false" outlineLevel="0" collapsed="false">
      <c r="A36" s="10" t="s">
        <v>8</v>
      </c>
      <c r="B36" s="10" t="s">
        <v>93</v>
      </c>
      <c r="C36" s="11" t="s">
        <v>94</v>
      </c>
      <c r="D36" s="14" t="n">
        <v>1</v>
      </c>
      <c r="E36" s="13" t="n">
        <v>15000</v>
      </c>
      <c r="F36" s="13" t="n">
        <f aca="false">D36*E36</f>
        <v>15000</v>
      </c>
      <c r="G36" s="11" t="s">
        <v>95</v>
      </c>
      <c r="H36" s="14" t="s">
        <v>22</v>
      </c>
    </row>
    <row r="37" customFormat="false" ht="15" hidden="false" customHeight="false" outlineLevel="0" collapsed="false">
      <c r="A37" s="10" t="s">
        <v>8</v>
      </c>
      <c r="B37" s="15" t="s">
        <v>96</v>
      </c>
      <c r="C37" s="16" t="s">
        <v>97</v>
      </c>
      <c r="D37" s="14" t="n">
        <v>2</v>
      </c>
      <c r="E37" s="13" t="n">
        <v>1500</v>
      </c>
      <c r="F37" s="13" t="n">
        <f aca="false">D37*E37</f>
        <v>3000</v>
      </c>
      <c r="G37" s="11" t="s">
        <v>98</v>
      </c>
      <c r="H37" s="14" t="s">
        <v>22</v>
      </c>
    </row>
    <row r="38" customFormat="false" ht="15" hidden="false" customHeight="false" outlineLevel="0" collapsed="false">
      <c r="A38" s="10" t="s">
        <v>8</v>
      </c>
      <c r="B38" s="10" t="s">
        <v>99</v>
      </c>
      <c r="C38" s="16" t="s">
        <v>100</v>
      </c>
      <c r="D38" s="14" t="n">
        <v>6</v>
      </c>
      <c r="E38" s="13" t="n">
        <v>1500</v>
      </c>
      <c r="F38" s="13" t="n">
        <f aca="false">D38*E38</f>
        <v>9000</v>
      </c>
      <c r="G38" s="11" t="s">
        <v>101</v>
      </c>
      <c r="H38" s="14" t="s">
        <v>22</v>
      </c>
    </row>
    <row r="39" customFormat="false" ht="15" hidden="false" customHeight="false" outlineLevel="0" collapsed="false">
      <c r="A39" s="10" t="s">
        <v>9</v>
      </c>
      <c r="B39" s="10" t="s">
        <v>102</v>
      </c>
      <c r="C39" s="16" t="s">
        <v>92</v>
      </c>
      <c r="D39" s="14" t="n">
        <v>1</v>
      </c>
      <c r="E39" s="13" t="n">
        <v>2000</v>
      </c>
      <c r="F39" s="13" t="n">
        <f aca="false">D39*E39</f>
        <v>2000</v>
      </c>
      <c r="G39" s="11" t="s">
        <v>103</v>
      </c>
      <c r="H39" s="17" t="s">
        <v>38</v>
      </c>
    </row>
    <row r="40" customFormat="false" ht="15" hidden="false" customHeight="false" outlineLevel="0" collapsed="false">
      <c r="A40" s="10" t="s">
        <v>9</v>
      </c>
      <c r="B40" s="10" t="s">
        <v>104</v>
      </c>
      <c r="C40" s="11" t="s">
        <v>105</v>
      </c>
      <c r="D40" s="14" t="n">
        <v>1</v>
      </c>
      <c r="E40" s="13" t="n">
        <v>1000</v>
      </c>
      <c r="F40" s="13" t="n">
        <f aca="false">D40*E40</f>
        <v>1000</v>
      </c>
      <c r="G40" s="11" t="s">
        <v>106</v>
      </c>
      <c r="H40" s="14" t="s">
        <v>22</v>
      </c>
    </row>
    <row r="41" customFormat="false" ht="15" hidden="false" customHeight="false" outlineLevel="0" collapsed="false">
      <c r="A41" s="10" t="s">
        <v>9</v>
      </c>
      <c r="B41" s="10" t="s">
        <v>107</v>
      </c>
      <c r="C41" s="11" t="s">
        <v>108</v>
      </c>
      <c r="D41" s="14" t="n">
        <v>1</v>
      </c>
      <c r="E41" s="13" t="n">
        <v>3000</v>
      </c>
      <c r="F41" s="13" t="n">
        <f aca="false">D41*E41</f>
        <v>3000</v>
      </c>
      <c r="G41" s="11" t="s">
        <v>109</v>
      </c>
      <c r="H41" s="17" t="s">
        <v>38</v>
      </c>
    </row>
    <row r="42" customFormat="false" ht="15" hidden="false" customHeight="false" outlineLevel="0" collapsed="false">
      <c r="A42" s="10" t="s">
        <v>9</v>
      </c>
      <c r="B42" s="10" t="s">
        <v>110</v>
      </c>
      <c r="C42" s="11" t="s">
        <v>111</v>
      </c>
      <c r="D42" s="14" t="n">
        <v>1</v>
      </c>
      <c r="E42" s="13" t="n">
        <v>3000</v>
      </c>
      <c r="F42" s="13" t="n">
        <f aca="false">D42*E42</f>
        <v>3000</v>
      </c>
      <c r="G42" s="11" t="s">
        <v>112</v>
      </c>
      <c r="H42" s="17" t="s">
        <v>38</v>
      </c>
    </row>
    <row r="43" customFormat="false" ht="15" hidden="false" customHeight="false" outlineLevel="0" collapsed="false">
      <c r="A43" s="10" t="s">
        <v>9</v>
      </c>
      <c r="B43" s="10" t="s">
        <v>113</v>
      </c>
      <c r="C43" s="11" t="s">
        <v>114</v>
      </c>
      <c r="D43" s="14" t="n">
        <v>1</v>
      </c>
      <c r="E43" s="13" t="n">
        <v>2000</v>
      </c>
      <c r="F43" s="13" t="n">
        <f aca="false">D43*E43</f>
        <v>2000</v>
      </c>
      <c r="G43" s="11" t="s">
        <v>115</v>
      </c>
      <c r="H43" s="17" t="s">
        <v>38</v>
      </c>
    </row>
    <row r="44" customFormat="false" ht="15" hidden="false" customHeight="false" outlineLevel="0" collapsed="false">
      <c r="A44" s="10" t="s">
        <v>9</v>
      </c>
      <c r="B44" s="15" t="s">
        <v>116</v>
      </c>
      <c r="C44" s="16" t="s">
        <v>117</v>
      </c>
      <c r="D44" s="14" t="n">
        <v>1</v>
      </c>
      <c r="E44" s="13" t="n">
        <v>3000</v>
      </c>
      <c r="F44" s="13" t="n">
        <f aca="false">D44*E44</f>
        <v>3000</v>
      </c>
      <c r="G44" s="11" t="s">
        <v>118</v>
      </c>
      <c r="H44" s="14" t="s">
        <v>22</v>
      </c>
    </row>
    <row r="45" customFormat="false" ht="15" hidden="false" customHeight="false" outlineLevel="0" collapsed="false">
      <c r="A45" s="10" t="s">
        <v>9</v>
      </c>
      <c r="B45" s="10" t="s">
        <v>119</v>
      </c>
      <c r="C45" s="16" t="s">
        <v>92</v>
      </c>
      <c r="D45" s="14" t="n">
        <v>1</v>
      </c>
      <c r="E45" s="13" t="n">
        <v>2000</v>
      </c>
      <c r="F45" s="13" t="n">
        <f aca="false">D45*E45</f>
        <v>2000</v>
      </c>
      <c r="G45" s="11" t="s">
        <v>120</v>
      </c>
      <c r="H45" s="14" t="s">
        <v>22</v>
      </c>
    </row>
    <row r="46" customFormat="false" ht="15" hidden="false" customHeight="false" outlineLevel="0" collapsed="false">
      <c r="A46" s="10" t="s">
        <v>10</v>
      </c>
      <c r="B46" s="10" t="s">
        <v>121</v>
      </c>
      <c r="C46" s="11" t="s">
        <v>122</v>
      </c>
      <c r="D46" s="14" t="n">
        <v>1</v>
      </c>
      <c r="E46" s="13" t="n">
        <v>15000</v>
      </c>
      <c r="F46" s="13" t="n">
        <f aca="false">D46*E46</f>
        <v>15000</v>
      </c>
      <c r="G46" s="11"/>
      <c r="H46" s="17" t="s">
        <v>38</v>
      </c>
    </row>
    <row r="47" customFormat="false" ht="15" hidden="false" customHeight="false" outlineLevel="0" collapsed="false">
      <c r="A47" s="10" t="s">
        <v>10</v>
      </c>
      <c r="B47" s="15" t="s">
        <v>123</v>
      </c>
      <c r="C47" s="11" t="s">
        <v>124</v>
      </c>
      <c r="D47" s="14" t="n">
        <v>1</v>
      </c>
      <c r="E47" s="13" t="n">
        <v>5000</v>
      </c>
      <c r="F47" s="13" t="n">
        <f aca="false">D47*E47</f>
        <v>5000</v>
      </c>
      <c r="G47" s="11"/>
      <c r="H47" s="17" t="s">
        <v>38</v>
      </c>
    </row>
    <row r="48" customFormat="false" ht="15" hidden="false" customHeight="false" outlineLevel="0" collapsed="false">
      <c r="E48" s="19" t="s">
        <v>125</v>
      </c>
      <c r="F48" s="20" t="n">
        <f aca="false">SUM(F10:F47)</f>
        <v>305700</v>
      </c>
    </row>
  </sheetData>
  <mergeCells count="2">
    <mergeCell ref="A1:H1"/>
    <mergeCell ref="A6: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2026-07-07T10:29:29Z</dcterms:created>
  <dc:creator>openpyxl</dc:creator>
  <dc:description/>
  <dc:language>en-US</dc:language>
  <cp:lastModifiedBy/>
  <dcterms:modified xsi:type="dcterms:W3CDTF">2026-07-07T10:29:29Z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